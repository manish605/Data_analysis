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cuments\"/>
    </mc:Choice>
  </mc:AlternateContent>
  <xr:revisionPtr revIDLastSave="0" documentId="8_{C7E42094-C5BE-4308-A3E5-8157781A25FB}" xr6:coauthVersionLast="47" xr6:coauthVersionMax="47" xr10:uidLastSave="{00000000-0000-0000-0000-000000000000}"/>
  <bookViews>
    <workbookView xWindow="-120" yWindow="-120" windowWidth="29040" windowHeight="15720" activeTab="3" xr2:uid="{71D532B2-6A87-4AC9-B722-EB91785769C1}"/>
  </bookViews>
  <sheets>
    <sheet name="Sheet2" sheetId="2" r:id="rId1"/>
    <sheet name="Sheet3" sheetId="3" r:id="rId2"/>
    <sheet name="Sheet4" sheetId="4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B18" i="1"/>
  <c r="B16" i="1"/>
  <c r="B12" i="1"/>
  <c r="B14" i="1"/>
</calcChain>
</file>

<file path=xl/sharedStrings.xml><?xml version="1.0" encoding="utf-8"?>
<sst xmlns="http://schemas.openxmlformats.org/spreadsheetml/2006/main" count="133" uniqueCount="68">
  <si>
    <t>student_name</t>
  </si>
  <si>
    <t>P G MANISH</t>
  </si>
  <si>
    <t>HARSHA</t>
  </si>
  <si>
    <t>THARUN</t>
  </si>
  <si>
    <t>MANOJ</t>
  </si>
  <si>
    <t>HEMANTH</t>
  </si>
  <si>
    <t>SHOYAB</t>
  </si>
  <si>
    <t>JAYSAI</t>
  </si>
  <si>
    <t>NANDA</t>
  </si>
  <si>
    <t>RAHUL</t>
  </si>
  <si>
    <t>MEAN</t>
  </si>
  <si>
    <t>STUDY_HOUR</t>
  </si>
  <si>
    <t>MARKS</t>
  </si>
  <si>
    <t>MODE</t>
  </si>
  <si>
    <t>MEDIAN</t>
  </si>
  <si>
    <t>Sum</t>
  </si>
  <si>
    <t>Average</t>
  </si>
  <si>
    <t>Running Total</t>
  </si>
  <si>
    <t>Count</t>
  </si>
  <si>
    <t>STDV_MAKS</t>
  </si>
  <si>
    <t>COREL B&amp;C</t>
  </si>
  <si>
    <t>SGPA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</si>
  <si>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</si>
  <si>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</si>
  <si>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</si>
  <si>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</si>
  <si>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</si>
  <si>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</si>
  <si>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</si>
  <si>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</si>
  <si>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</si>
  <si>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</si>
  <si>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</si>
  <si>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</si>
  <si>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</si>
  <si>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</si>
  <si>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</si>
  <si>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</si>
  <si>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</si>
  <si>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</si>
  <si>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</si>
  <si>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</si>
  <si>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</si>
  <si>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</si>
  <si>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</si>
  <si>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</si>
  <si>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</si>
  <si>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</si>
  <si>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</si>
  <si>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</si>
  <si>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</si>
  <si>
    <t>PROBABILITY OUTPUT</t>
  </si>
  <si>
    <t>Percentile</t>
  </si>
  <si>
    <t>Y</t>
  </si>
  <si>
    <t>Column1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</si>
  <si>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</si>
  <si>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</si>
  <si>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</si>
  <si>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</si>
  <si>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</si>
  <si>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</si>
  <si>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</si>
  <si>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</si>
  <si>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</si>
  <si>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</si>
  <si>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Largest(1)</t>
  </si>
  <si>
    <t>Smallest(1)</t>
  </si>
  <si>
    <t>Confidence Level(95.0%)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</si>
</sst>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1" fillId="2" borderId="0" xfId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Sheet3!$A$25:$A$33</c:f>
              <c:numCache>
                <c:formatCode>General</c:formatCode>
                <c:ptCount val="9"/>
                <c:pt idx="0">
                  <c:v>5.5555555555555554</c:v>
                </c:pt>
                <c:pt idx="1">
                  <c:v>16.666666666666664</c:v>
                </c:pt>
                <c:pt idx="2">
                  <c:v>27.777777777777779</c:v>
                </c:pt>
                <c:pt idx="3">
                  <c:v>38.888888888888886</c:v>
                </c:pt>
                <c:pt idx="4">
                  <c:v>50</c:v>
                </c:pt>
                <c:pt idx="5">
                  <c:v>61.111111111111114</c:v>
                </c:pt>
                <c:pt idx="6">
                  <c:v>72.222222222222214</c:v>
                </c:pt>
                <c:pt idx="7">
                  <c:v>83.333333333333329</c:v>
                </c:pt>
                <c:pt idx="8">
                  <c:v>94.444444444444443</c:v>
                </c:pt>
              </c:numCache>
            </c:numRef>
          </c:xVal>
          <c:yVal>
            <c:numRef>
              <c:f>Sheet3!$B$25:$B$33</c:f>
              <c:numCache>
                <c:formatCode>General</c:formatCode>
                <c:ptCount val="9"/>
                <c:pt idx="0">
                  <c:v>30</c:v>
                </c:pt>
                <c:pt idx="1">
                  <c:v>46</c:v>
                </c:pt>
                <c:pt idx="2">
                  <c:v>60</c:v>
                </c:pt>
                <c:pt idx="3">
                  <c:v>75</c:v>
                </c:pt>
                <c:pt idx="4">
                  <c:v>76</c:v>
                </c:pt>
                <c:pt idx="5">
                  <c:v>80</c:v>
                </c:pt>
                <c:pt idx="6">
                  <c:v>80</c:v>
                </c:pt>
                <c:pt idx="7">
                  <c:v>90</c:v>
                </c:pt>
                <c:pt idx="8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4B-4267-A477-6DA86D6B8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138720"/>
        <c:axId val="205137280"/>
      </c:scatterChart>
      <c:valAx>
        <c:axId val="205138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5137280"/>
        <c:crosses val="autoZero"/>
        <c:crossBetween val="midCat"/>
      </c:valAx>
      <c:valAx>
        <c:axId val="2051372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513872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315599680025561"/>
          <c:y val="3.69074108337296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80325764995094"/>
          <c:y val="0.15220871574430156"/>
          <c:w val="0.89019685039370078"/>
          <c:h val="0.588059565470982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Sheet1!$A$2:$A$10</c:f>
              <c:strCache>
                <c:ptCount val="9"/>
                <c:pt idx="0">
                  <c:v>P G MANISH</c:v>
                </c:pt>
                <c:pt idx="1">
                  <c:v>HARSHA</c:v>
                </c:pt>
                <c:pt idx="2">
                  <c:v>THARUN</c:v>
                </c:pt>
                <c:pt idx="3">
                  <c:v>MANOJ</c:v>
                </c:pt>
                <c:pt idx="4">
                  <c:v>HEMANTH</c:v>
                </c:pt>
                <c:pt idx="5">
                  <c:v>SHOYAB</c:v>
                </c:pt>
                <c:pt idx="6">
                  <c:v>JAYSAI</c:v>
                </c:pt>
                <c:pt idx="7">
                  <c:v>NANDA</c:v>
                </c:pt>
                <c:pt idx="8">
                  <c:v>RAHUL</c:v>
                </c:pt>
              </c:strCache>
            </c:strRef>
          </c:cat>
          <c:val>
            <c:numRef>
              <c:f>Sheet1!$B$2:$B$10</c:f>
              <c:numCache>
                <c:formatCode>General</c:formatCode>
                <c:ptCount val="9"/>
                <c:pt idx="0">
                  <c:v>100</c:v>
                </c:pt>
                <c:pt idx="1">
                  <c:v>90</c:v>
                </c:pt>
                <c:pt idx="2">
                  <c:v>30</c:v>
                </c:pt>
                <c:pt idx="3">
                  <c:v>60</c:v>
                </c:pt>
                <c:pt idx="4">
                  <c:v>75</c:v>
                </c:pt>
                <c:pt idx="5">
                  <c:v>80</c:v>
                </c:pt>
                <c:pt idx="6">
                  <c:v>80</c:v>
                </c:pt>
                <c:pt idx="7">
                  <c:v>46</c:v>
                </c:pt>
                <c:pt idx="8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BC-4BF2-9DD3-A0C52E5E3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537856"/>
        <c:axId val="65548416"/>
      </c:barChart>
      <c:catAx>
        <c:axId val="655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48416"/>
        <c:crosses val="autoZero"/>
        <c:auto val="1"/>
        <c:lblAlgn val="ctr"/>
        <c:lblOffset val="100"/>
        <c:noMultiLvlLbl val="0"/>
      </c:catAx>
      <c:valAx>
        <c:axId val="6554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3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Sheet1!$C$2:$C$10</c:f>
              <c:numCache>
                <c:formatCode>General</c:formatCode>
                <c:ptCount val="9"/>
                <c:pt idx="0">
                  <c:v>5</c:v>
                </c:pt>
                <c:pt idx="1">
                  <c:v>6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3</c:v>
                </c:pt>
                <c:pt idx="7">
                  <c:v>1</c:v>
                </c:pt>
                <c:pt idx="8">
                  <c:v>4</c:v>
                </c:pt>
              </c:numCache>
            </c:numRef>
          </c:xVal>
          <c:yVal>
            <c:numRef>
              <c:f>Sheet1!$B$2:$B$10</c:f>
              <c:numCache>
                <c:formatCode>General</c:formatCode>
                <c:ptCount val="9"/>
                <c:pt idx="0">
                  <c:v>100</c:v>
                </c:pt>
                <c:pt idx="1">
                  <c:v>90</c:v>
                </c:pt>
                <c:pt idx="2">
                  <c:v>30</c:v>
                </c:pt>
                <c:pt idx="3">
                  <c:v>60</c:v>
                </c:pt>
                <c:pt idx="4">
                  <c:v>75</c:v>
                </c:pt>
                <c:pt idx="5">
                  <c:v>80</c:v>
                </c:pt>
                <c:pt idx="6">
                  <c:v>80</c:v>
                </c:pt>
                <c:pt idx="7">
                  <c:v>46</c:v>
                </c:pt>
                <c:pt idx="8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B7-4543-AAA3-251003BFE5D0}"/>
            </c:ext>
          </c:extLst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Sheet1!$C$2:$C$10</c:f>
              <c:numCache>
                <c:formatCode>General</c:formatCode>
                <c:ptCount val="9"/>
                <c:pt idx="0">
                  <c:v>5</c:v>
                </c:pt>
                <c:pt idx="1">
                  <c:v>6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3</c:v>
                </c:pt>
                <c:pt idx="7">
                  <c:v>1</c:v>
                </c:pt>
                <c:pt idx="8">
                  <c:v>4</c:v>
                </c:pt>
              </c:numCache>
            </c:numRef>
          </c:xVal>
          <c:yVal>
            <c:numRef>
              <c:f>Sheet4!$B$25:$B$33</c:f>
              <c:numCache>
                <c:formatCode>General</c:formatCode>
                <c:ptCount val="9"/>
                <c:pt idx="0">
                  <c:v>83.415094339622641</c:v>
                </c:pt>
                <c:pt idx="1">
                  <c:v>93.754716981132077</c:v>
                </c:pt>
                <c:pt idx="2">
                  <c:v>52.39622641509434</c:v>
                </c:pt>
                <c:pt idx="3">
                  <c:v>62.735849056603769</c:v>
                </c:pt>
                <c:pt idx="4">
                  <c:v>73.075471698113205</c:v>
                </c:pt>
                <c:pt idx="5">
                  <c:v>93.754716981132077</c:v>
                </c:pt>
                <c:pt idx="6">
                  <c:v>62.735849056603769</c:v>
                </c:pt>
                <c:pt idx="7">
                  <c:v>42.056603773584911</c:v>
                </c:pt>
                <c:pt idx="8">
                  <c:v>73.075471698113205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B7-4543-AAA3-251003BFE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092912"/>
        <c:axId val="205093872"/>
      </c:scatterChart>
      <c:valAx>
        <c:axId val="205092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5093872"/>
        <c:crosses val="autoZero"/>
        <c:crossBetween val="midCat"/>
      </c:valAx>
      <c:valAx>
        <c:axId val="2050938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50929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A978DC-771A-ACAE-845E-3EF2B819A6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229913</xdr:colOff>
      <xdr:row>0</xdr:row>
      <xdr:rowOff>57149</xdr:rowOff>
    </xdr:from>
    <xdr:to>
      <xdr:col>17</xdr:col>
      <xdr:colOff>197069</xdr:colOff>
      <xdr:row>12</xdr:row>
      <xdr:rowOff>111672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2BF358B-85C5-A2E5-403D-5762EB0894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45982</xdr:colOff>
      <xdr:row>0</xdr:row>
      <xdr:rowOff>0</xdr:rowOff>
    </xdr:from>
    <xdr:to>
      <xdr:col>11</xdr:col>
      <xdr:colOff>38099</xdr:colOff>
      <xdr:row>10</xdr:row>
      <xdr:rowOff>35144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33509E0-8F73-41B8-AEC0-2F43E0423F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8E978-D377-45BE-BC0D-24241817DE95}">
  <dimension ref="A1:I33"/>
  <sheetViews>
    <sheetView workbookViewId="0">
      <selection activeCell="C33" sqref="C5:H33"/>
    </sheetView>
  </sheetViews>
  <sheetFormatPr defaultRowHeight="15" x14ac:dyDescent="0.25"/>
  <sheetData>
    <row r="1" spans="1:9" x14ac:dyDescent="0.25">
      <c r="A1" t="s">
        <v>22</v>
      </c>
    </row>
    <row r="2" spans="1:9" ht="15.75" thickBot="1" x14ac:dyDescent="0.3"/>
    <row r="3" spans="1:9" x14ac:dyDescent="0.25">
      <c r="A3" s="10" t="s">
        <v>23</v>
      </c>
      <c r="B3" s="10"/>
    </row>
    <row r="4" spans="1:9" x14ac:dyDescent="0.25">
      <c r="A4" s="7" t="s">
        <v>24</v>
      </c>
      <c r="B4" s="7">
        <v>0.81070677266105717</v>
      </c>
    </row>
    <row r="5" spans="1:9" x14ac:dyDescent="0.25">
      <c r="A5" s="7" t="s">
        <v>25</v>
      </c>
      <c r="B5" s="7">
        <v>0.65724547123850707</v>
      </c>
    </row>
    <row r="6" spans="1:9" x14ac:dyDescent="0.25">
      <c r="A6" s="7" t="s">
        <v>26</v>
      </c>
      <c r="B6" s="7">
        <v>0.60828053855829378</v>
      </c>
    </row>
    <row r="7" spans="1:9" x14ac:dyDescent="0.25">
      <c r="A7" s="7" t="s">
        <v>27</v>
      </c>
      <c r="B7" s="7">
        <v>13.697147872395732</v>
      </c>
    </row>
    <row r="8" spans="1:9" ht="15.75" thickBot="1" x14ac:dyDescent="0.3">
      <c r="A8" s="8" t="s">
        <v>28</v>
      </c>
      <c r="B8" s="8">
        <v>9</v>
      </c>
    </row>
    <row r="10" spans="1:9" ht="15.75" thickBot="1" x14ac:dyDescent="0.3">
      <c r="A10" t="s">
        <v>29</v>
      </c>
    </row>
    <row r="11" spans="1:9" x14ac:dyDescent="0.25">
      <c r="A11" s="9"/>
      <c r="B11" s="9" t="s">
        <v>34</v>
      </c>
      <c r="C11" s="9" t="s">
        <v>35</v>
      </c>
      <c r="D11" s="9" t="s">
        <v>36</v>
      </c>
      <c r="E11" s="9" t="s">
        <v>37</v>
      </c>
      <c r="F11" s="9" t="s">
        <v>38</v>
      </c>
    </row>
    <row r="12" spans="1:9" x14ac:dyDescent="0.25">
      <c r="A12" s="7" t="s">
        <v>30</v>
      </c>
      <c r="B12" s="7">
        <v>1</v>
      </c>
      <c r="C12" s="7">
        <v>2518.2725366876307</v>
      </c>
      <c r="D12" s="7">
        <v>2518.2725366876307</v>
      </c>
      <c r="E12" s="7">
        <v>13.422779022916943</v>
      </c>
      <c r="F12" s="7">
        <v>8.0307763367791531E-3</v>
      </c>
    </row>
    <row r="13" spans="1:9" x14ac:dyDescent="0.25">
      <c r="A13" s="7" t="s">
        <v>31</v>
      </c>
      <c r="B13" s="7">
        <v>7</v>
      </c>
      <c r="C13" s="7">
        <v>1313.2830188679245</v>
      </c>
      <c r="D13" s="7">
        <v>187.61185983827494</v>
      </c>
      <c r="E13" s="7"/>
      <c r="F13" s="7"/>
    </row>
    <row r="14" spans="1:9" ht="15.75" thickBot="1" x14ac:dyDescent="0.3">
      <c r="A14" s="8" t="s">
        <v>32</v>
      </c>
      <c r="B14" s="8">
        <v>8</v>
      </c>
      <c r="C14" s="8">
        <v>3831.5555555555552</v>
      </c>
      <c r="D14" s="8"/>
      <c r="E14" s="8"/>
      <c r="F14" s="8"/>
    </row>
    <row r="15" spans="1:9" ht="15.75" thickBot="1" x14ac:dyDescent="0.3"/>
    <row r="16" spans="1:9" x14ac:dyDescent="0.25">
      <c r="A16" s="9"/>
      <c r="B16" s="9" t="s">
        <v>39</v>
      </c>
      <c r="C16" s="9" t="s">
        <v>27</v>
      </c>
      <c r="D16" s="9" t="s">
        <v>40</v>
      </c>
      <c r="E16" s="9" t="s">
        <v>41</v>
      </c>
      <c r="F16" s="9" t="s">
        <v>42</v>
      </c>
      <c r="G16" s="9" t="s">
        <v>43</v>
      </c>
      <c r="H16" s="9" t="s">
        <v>44</v>
      </c>
      <c r="I16" s="9" t="s">
        <v>45</v>
      </c>
    </row>
    <row r="17" spans="1:9" x14ac:dyDescent="0.25">
      <c r="A17" s="7" t="s">
        <v>33</v>
      </c>
      <c r="B17" s="7">
        <v>31.716981132075475</v>
      </c>
      <c r="C17" s="7">
        <v>11.598024127308543</v>
      </c>
      <c r="D17" s="7">
        <v>2.734688321383564</v>
      </c>
      <c r="E17" s="7">
        <v>2.9140747791642309E-2</v>
      </c>
      <c r="F17" s="7">
        <v>4.2920120100834502</v>
      </c>
      <c r="G17" s="7">
        <v>59.141950254067496</v>
      </c>
      <c r="H17" s="7">
        <v>4.2920120100834502</v>
      </c>
      <c r="I17" s="7">
        <v>59.141950254067496</v>
      </c>
    </row>
    <row r="18" spans="1:9" ht="15.75" thickBot="1" x14ac:dyDescent="0.3">
      <c r="A18" s="8" t="s">
        <v>46</v>
      </c>
      <c r="B18" s="8">
        <v>10.339622641509433</v>
      </c>
      <c r="C18" s="8">
        <v>2.8221719343612959</v>
      </c>
      <c r="D18" s="8">
        <v>3.6637110998162696</v>
      </c>
      <c r="E18" s="8">
        <v>8.03077633677916E-3</v>
      </c>
      <c r="F18" s="8">
        <v>3.6662464433541917</v>
      </c>
      <c r="G18" s="8">
        <v>17.012998839664675</v>
      </c>
      <c r="H18" s="8">
        <v>3.6662464433541917</v>
      </c>
      <c r="I18" s="8">
        <v>17.012998839664675</v>
      </c>
    </row>
    <row r="22" spans="1:9" x14ac:dyDescent="0.25">
      <c r="A22" t="s">
        <v>47</v>
      </c>
    </row>
    <row r="24" spans="1:9" x14ac:dyDescent="0.25">
      <c r="A24" t="s">
        <v>48</v>
      </c>
      <c r="B24" t="s">
        <v>49</v>
      </c>
      <c r="C24" t="s">
        <v>50</v>
      </c>
    </row>
    <row r="25" spans="1:9" x14ac:dyDescent="0.25">
      <c r="A25">
        <v>1</v>
      </c>
      <c r="B25">
        <v>83.415094339622641</v>
      </c>
      <c r="C25">
        <v>16.584905660377359</v>
      </c>
    </row>
    <row r="26" spans="1:9" x14ac:dyDescent="0.25">
      <c r="A26">
        <v>2</v>
      </c>
      <c r="B26">
        <v>93.754716981132077</v>
      </c>
      <c r="C26">
        <v>-3.7547169811320771</v>
      </c>
    </row>
    <row r="27" spans="1:9" x14ac:dyDescent="0.25">
      <c r="A27">
        <v>3</v>
      </c>
      <c r="B27">
        <v>52.39622641509434</v>
      </c>
      <c r="C27">
        <v>-22.39622641509434</v>
      </c>
    </row>
    <row r="28" spans="1:9" x14ac:dyDescent="0.25">
      <c r="A28">
        <v>4</v>
      </c>
      <c r="B28">
        <v>62.735849056603769</v>
      </c>
      <c r="C28">
        <v>-2.7358490566037688</v>
      </c>
    </row>
    <row r="29" spans="1:9" x14ac:dyDescent="0.25">
      <c r="A29">
        <v>5</v>
      </c>
      <c r="B29">
        <v>73.075471698113205</v>
      </c>
      <c r="C29">
        <v>1.9245283018867951</v>
      </c>
    </row>
    <row r="30" spans="1:9" x14ac:dyDescent="0.25">
      <c r="A30">
        <v>6</v>
      </c>
      <c r="B30">
        <v>93.754716981132077</v>
      </c>
      <c r="C30">
        <v>-13.754716981132077</v>
      </c>
    </row>
    <row r="31" spans="1:9" x14ac:dyDescent="0.25">
      <c r="A31">
        <v>7</v>
      </c>
      <c r="B31">
        <v>62.735849056603769</v>
      </c>
      <c r="C31">
        <v>17.264150943396231</v>
      </c>
    </row>
    <row r="32" spans="1:9" x14ac:dyDescent="0.25">
      <c r="A32">
        <v>8</v>
      </c>
      <c r="B32">
        <v>42.056603773584911</v>
      </c>
      <c r="C32">
        <v>3.9433962264150892</v>
      </c>
    </row>
    <row r="33" spans="1:3" x14ac:dyDescent="0.25">
      <c r="A33">
        <v>9</v>
      </c>
      <c r="B33">
        <v>73.075471698113205</v>
      </c>
      <c r="C33">
        <v>2.9245283018867951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6024-128F-466E-950E-2D6151EE6377}">
  <dimension ref="A1:I33"/>
  <sheetViews>
    <sheetView workbookViewId="0">
      <selection activeCell="B3" sqref="B3"/>
    </sheetView>
  </sheetViews>
  <sheetFormatPr defaultRowHeight="15" x14ac:dyDescent="0.25"/>
  <cols>
    <col min="1" max="1" width="23.5703125" customWidth="1"/>
    <col min="2" max="2" width="13.42578125" customWidth="1"/>
  </cols>
  <sheetData>
    <row r="1" spans="1:9" x14ac:dyDescent="0.25">
      <c r="A1" t="s">
        <v>22</v>
      </c>
    </row>
    <row r="2" spans="1:9" ht="15.75" thickBot="1" x14ac:dyDescent="0.3"/>
    <row r="3" spans="1:9" x14ac:dyDescent="0.25">
      <c r="A3" s="10" t="s">
        <v>23</v>
      </c>
      <c r="B3" s="10"/>
    </row>
    <row r="4" spans="1:9" x14ac:dyDescent="0.25">
      <c r="A4" s="7" t="s">
        <v>24</v>
      </c>
      <c r="B4" s="7">
        <v>0.81070677266105717</v>
      </c>
    </row>
    <row r="5" spans="1:9" x14ac:dyDescent="0.25">
      <c r="A5" s="7" t="s">
        <v>25</v>
      </c>
      <c r="B5" s="7">
        <v>0.65724547123850707</v>
      </c>
    </row>
    <row r="6" spans="1:9" x14ac:dyDescent="0.25">
      <c r="A6" s="7" t="s">
        <v>26</v>
      </c>
      <c r="B6" s="7">
        <v>0.60828053855829378</v>
      </c>
    </row>
    <row r="7" spans="1:9" x14ac:dyDescent="0.25">
      <c r="A7" s="7" t="s">
        <v>27</v>
      </c>
      <c r="B7" s="7">
        <v>13.697147872395732</v>
      </c>
    </row>
    <row r="8" spans="1:9" ht="15.75" thickBot="1" x14ac:dyDescent="0.3">
      <c r="A8" s="8" t="s">
        <v>28</v>
      </c>
      <c r="B8" s="8">
        <v>9</v>
      </c>
    </row>
    <row r="10" spans="1:9" ht="15.75" thickBot="1" x14ac:dyDescent="0.3">
      <c r="A10" t="s">
        <v>29</v>
      </c>
    </row>
    <row r="11" spans="1:9" x14ac:dyDescent="0.25">
      <c r="A11" s="9"/>
      <c r="B11" s="9" t="s">
        <v>34</v>
      </c>
      <c r="C11" s="9" t="s">
        <v>35</v>
      </c>
      <c r="D11" s="9" t="s">
        <v>36</v>
      </c>
      <c r="E11" s="9" t="s">
        <v>37</v>
      </c>
      <c r="F11" s="9" t="s">
        <v>38</v>
      </c>
    </row>
    <row r="12" spans="1:9" x14ac:dyDescent="0.25">
      <c r="A12" s="7" t="s">
        <v>30</v>
      </c>
      <c r="B12" s="7">
        <v>1</v>
      </c>
      <c r="C12" s="7">
        <v>2518.2725366876307</v>
      </c>
      <c r="D12" s="7">
        <v>2518.2725366876307</v>
      </c>
      <c r="E12" s="7">
        <v>13.422779022916943</v>
      </c>
      <c r="F12" s="7">
        <v>8.0307763367791531E-3</v>
      </c>
    </row>
    <row r="13" spans="1:9" x14ac:dyDescent="0.25">
      <c r="A13" s="7" t="s">
        <v>31</v>
      </c>
      <c r="B13" s="7">
        <v>7</v>
      </c>
      <c r="C13" s="7">
        <v>1313.2830188679245</v>
      </c>
      <c r="D13" s="7">
        <v>187.61185983827494</v>
      </c>
      <c r="E13" s="7"/>
      <c r="F13" s="7"/>
    </row>
    <row r="14" spans="1:9" ht="15.75" thickBot="1" x14ac:dyDescent="0.3">
      <c r="A14" s="8" t="s">
        <v>32</v>
      </c>
      <c r="B14" s="8">
        <v>8</v>
      </c>
      <c r="C14" s="8">
        <v>3831.5555555555552</v>
      </c>
      <c r="D14" s="8"/>
      <c r="E14" s="8"/>
      <c r="F14" s="8"/>
    </row>
    <row r="15" spans="1:9" ht="15.75" thickBot="1" x14ac:dyDescent="0.3"/>
    <row r="16" spans="1:9" x14ac:dyDescent="0.25">
      <c r="A16" s="9"/>
      <c r="B16" s="9" t="s">
        <v>39</v>
      </c>
      <c r="C16" s="9" t="s">
        <v>27</v>
      </c>
      <c r="D16" s="9" t="s">
        <v>40</v>
      </c>
      <c r="E16" s="9" t="s">
        <v>41</v>
      </c>
      <c r="F16" s="9" t="s">
        <v>42</v>
      </c>
      <c r="G16" s="9" t="s">
        <v>43</v>
      </c>
      <c r="H16" s="9" t="s">
        <v>44</v>
      </c>
      <c r="I16" s="9" t="s">
        <v>45</v>
      </c>
    </row>
    <row r="17" spans="1:9" x14ac:dyDescent="0.25">
      <c r="A17" s="7" t="s">
        <v>33</v>
      </c>
      <c r="B17" s="7">
        <v>31.716981132075475</v>
      </c>
      <c r="C17" s="7">
        <v>11.598024127308543</v>
      </c>
      <c r="D17" s="7">
        <v>2.734688321383564</v>
      </c>
      <c r="E17" s="7">
        <v>2.9140747791642309E-2</v>
      </c>
      <c r="F17" s="7">
        <v>4.2920120100834502</v>
      </c>
      <c r="G17" s="7">
        <v>59.141950254067496</v>
      </c>
      <c r="H17" s="7">
        <v>4.2920120100834502</v>
      </c>
      <c r="I17" s="7">
        <v>59.141950254067496</v>
      </c>
    </row>
    <row r="18" spans="1:9" ht="15.75" thickBot="1" x14ac:dyDescent="0.3">
      <c r="A18" s="8" t="s">
        <v>46</v>
      </c>
      <c r="B18" s="8">
        <v>10.339622641509433</v>
      </c>
      <c r="C18" s="8">
        <v>2.8221719343612959</v>
      </c>
      <c r="D18" s="8">
        <v>3.6637110998162696</v>
      </c>
      <c r="E18" s="8">
        <v>8.03077633677916E-3</v>
      </c>
      <c r="F18" s="8">
        <v>3.6662464433541917</v>
      </c>
      <c r="G18" s="8">
        <v>17.012998839664675</v>
      </c>
      <c r="H18" s="8">
        <v>3.6662464433541917</v>
      </c>
      <c r="I18" s="8">
        <v>17.012998839664675</v>
      </c>
    </row>
    <row r="22" spans="1:9" x14ac:dyDescent="0.25">
      <c r="A22" t="s">
        <v>51</v>
      </c>
    </row>
    <row r="23" spans="1:9" ht="15.75" thickBot="1" x14ac:dyDescent="0.3"/>
    <row r="24" spans="1:9" x14ac:dyDescent="0.25">
      <c r="A24" s="9" t="s">
        <v>52</v>
      </c>
      <c r="B24" s="9" t="s">
        <v>53</v>
      </c>
    </row>
    <row r="25" spans="1:9" x14ac:dyDescent="0.25">
      <c r="A25" s="7">
        <v>5.5555555555555554</v>
      </c>
      <c r="B25" s="7">
        <v>30</v>
      </c>
    </row>
    <row r="26" spans="1:9" x14ac:dyDescent="0.25">
      <c r="A26" s="7">
        <v>16.666666666666664</v>
      </c>
      <c r="B26" s="7">
        <v>46</v>
      </c>
    </row>
    <row r="27" spans="1:9" x14ac:dyDescent="0.25">
      <c r="A27" s="7">
        <v>27.777777777777779</v>
      </c>
      <c r="B27" s="7">
        <v>60</v>
      </c>
    </row>
    <row r="28" spans="1:9" x14ac:dyDescent="0.25">
      <c r="A28" s="7">
        <v>38.888888888888886</v>
      </c>
      <c r="B28" s="7">
        <v>75</v>
      </c>
    </row>
    <row r="29" spans="1:9" x14ac:dyDescent="0.25">
      <c r="A29" s="7">
        <v>50</v>
      </c>
      <c r="B29" s="7">
        <v>76</v>
      </c>
    </row>
    <row r="30" spans="1:9" x14ac:dyDescent="0.25">
      <c r="A30" s="7">
        <v>61.111111111111114</v>
      </c>
      <c r="B30" s="7">
        <v>80</v>
      </c>
    </row>
    <row r="31" spans="1:9" x14ac:dyDescent="0.25">
      <c r="A31" s="7">
        <v>72.222222222222214</v>
      </c>
      <c r="B31" s="7">
        <v>80</v>
      </c>
    </row>
    <row r="32" spans="1:9" x14ac:dyDescent="0.25">
      <c r="A32" s="7">
        <v>83.333333333333329</v>
      </c>
      <c r="B32" s="7">
        <v>90</v>
      </c>
    </row>
    <row r="33" spans="1:2" ht="15.75" thickBot="1" x14ac:dyDescent="0.3">
      <c r="A33" s="8">
        <v>94.444444444444443</v>
      </c>
      <c r="B33" s="8">
        <v>100</v>
      </c>
    </row>
  </sheetData>
  <sortState xmlns:xlrd2="http://schemas.microsoft.com/office/spreadsheetml/2017/richdata2" ref="B25:B33">
    <sortCondition ref="B25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1D3B0-7654-418D-9BC5-66E2DE486690}">
  <dimension ref="A1:I33"/>
  <sheetViews>
    <sheetView topLeftCell="A3" workbookViewId="0">
      <selection sqref="A1:I33"/>
    </sheetView>
  </sheetViews>
  <sheetFormatPr defaultRowHeight="15" x14ac:dyDescent="0.25"/>
  <sheetData>
    <row r="1" spans="1:9" x14ac:dyDescent="0.25">
      <c r="A1" t="s">
        <v>22</v>
      </c>
    </row>
    <row r="2" spans="1:9" ht="15.75" thickBot="1" x14ac:dyDescent="0.3"/>
    <row r="3" spans="1:9" x14ac:dyDescent="0.25">
      <c r="A3" s="10" t="s">
        <v>23</v>
      </c>
      <c r="B3" s="10"/>
    </row>
    <row r="4" spans="1:9" x14ac:dyDescent="0.25">
      <c r="A4" s="7" t="s">
        <v>24</v>
      </c>
      <c r="B4" s="7">
        <v>0.81070677266105717</v>
      </c>
    </row>
    <row r="5" spans="1:9" x14ac:dyDescent="0.25">
      <c r="A5" s="7" t="s">
        <v>25</v>
      </c>
      <c r="B5" s="7">
        <v>0.65724547123850707</v>
      </c>
    </row>
    <row r="6" spans="1:9" x14ac:dyDescent="0.25">
      <c r="A6" s="7" t="s">
        <v>26</v>
      </c>
      <c r="B6" s="7">
        <v>0.60828053855829378</v>
      </c>
    </row>
    <row r="7" spans="1:9" x14ac:dyDescent="0.25">
      <c r="A7" s="7" t="s">
        <v>27</v>
      </c>
      <c r="B7" s="7">
        <v>13.697147872395732</v>
      </c>
    </row>
    <row r="8" spans="1:9" ht="15.75" thickBot="1" x14ac:dyDescent="0.3">
      <c r="A8" s="8" t="s">
        <v>28</v>
      </c>
      <c r="B8" s="8">
        <v>9</v>
      </c>
    </row>
    <row r="10" spans="1:9" ht="15.75" thickBot="1" x14ac:dyDescent="0.3">
      <c r="A10" t="s">
        <v>29</v>
      </c>
    </row>
    <row r="11" spans="1:9" x14ac:dyDescent="0.25">
      <c r="A11" s="9"/>
      <c r="B11" s="9" t="s">
        <v>34</v>
      </c>
      <c r="C11" s="9" t="s">
        <v>35</v>
      </c>
      <c r="D11" s="9" t="s">
        <v>36</v>
      </c>
      <c r="E11" s="9" t="s">
        <v>37</v>
      </c>
      <c r="F11" s="9" t="s">
        <v>38</v>
      </c>
    </row>
    <row r="12" spans="1:9" x14ac:dyDescent="0.25">
      <c r="A12" s="7" t="s">
        <v>30</v>
      </c>
      <c r="B12" s="7">
        <v>1</v>
      </c>
      <c r="C12" s="7">
        <v>2518.2725366876307</v>
      </c>
      <c r="D12" s="7">
        <v>2518.2725366876307</v>
      </c>
      <c r="E12" s="7">
        <v>13.422779022916943</v>
      </c>
      <c r="F12" s="7">
        <v>8.0307763367791531E-3</v>
      </c>
    </row>
    <row r="13" spans="1:9" x14ac:dyDescent="0.25">
      <c r="A13" s="7" t="s">
        <v>31</v>
      </c>
      <c r="B13" s="7">
        <v>7</v>
      </c>
      <c r="C13" s="7">
        <v>1313.2830188679245</v>
      </c>
      <c r="D13" s="7">
        <v>187.61185983827494</v>
      </c>
      <c r="E13" s="7"/>
      <c r="F13" s="7"/>
    </row>
    <row r="14" spans="1:9" ht="15.75" thickBot="1" x14ac:dyDescent="0.3">
      <c r="A14" s="8" t="s">
        <v>32</v>
      </c>
      <c r="B14" s="8">
        <v>8</v>
      </c>
      <c r="C14" s="8">
        <v>3831.5555555555552</v>
      </c>
      <c r="D14" s="8"/>
      <c r="E14" s="8"/>
      <c r="F14" s="8"/>
    </row>
    <row r="15" spans="1:9" ht="15.75" thickBot="1" x14ac:dyDescent="0.3"/>
    <row r="16" spans="1:9" x14ac:dyDescent="0.25">
      <c r="A16" s="9"/>
      <c r="B16" s="9" t="s">
        <v>39</v>
      </c>
      <c r="C16" s="9" t="s">
        <v>27</v>
      </c>
      <c r="D16" s="9" t="s">
        <v>40</v>
      </c>
      <c r="E16" s="9" t="s">
        <v>41</v>
      </c>
      <c r="F16" s="9" t="s">
        <v>42</v>
      </c>
      <c r="G16" s="9" t="s">
        <v>43</v>
      </c>
      <c r="H16" s="9" t="s">
        <v>44</v>
      </c>
      <c r="I16" s="9" t="s">
        <v>45</v>
      </c>
    </row>
    <row r="17" spans="1:9" x14ac:dyDescent="0.25">
      <c r="A17" s="7" t="s">
        <v>33</v>
      </c>
      <c r="B17" s="7">
        <v>31.716981132075475</v>
      </c>
      <c r="C17" s="7">
        <v>11.598024127308543</v>
      </c>
      <c r="D17" s="7">
        <v>2.734688321383564</v>
      </c>
      <c r="E17" s="7">
        <v>2.9140747791642309E-2</v>
      </c>
      <c r="F17" s="7">
        <v>4.2920120100834502</v>
      </c>
      <c r="G17" s="7">
        <v>59.141950254067496</v>
      </c>
      <c r="H17" s="7">
        <v>4.2920120100834502</v>
      </c>
      <c r="I17" s="7">
        <v>59.141950254067496</v>
      </c>
    </row>
    <row r="18" spans="1:9" ht="15.75" thickBot="1" x14ac:dyDescent="0.3">
      <c r="A18" s="8" t="s">
        <v>46</v>
      </c>
      <c r="B18" s="8">
        <v>10.339622641509433</v>
      </c>
      <c r="C18" s="8">
        <v>2.8221719343612959</v>
      </c>
      <c r="D18" s="8">
        <v>3.6637110998162696</v>
      </c>
      <c r="E18" s="8">
        <v>8.03077633677916E-3</v>
      </c>
      <c r="F18" s="8">
        <v>3.6662464433541917</v>
      </c>
      <c r="G18" s="8">
        <v>17.012998839664675</v>
      </c>
      <c r="H18" s="8">
        <v>3.6662464433541917</v>
      </c>
      <c r="I18" s="8">
        <v>17.012998839664675</v>
      </c>
    </row>
    <row r="22" spans="1:9" x14ac:dyDescent="0.25">
      <c r="A22" t="s">
        <v>47</v>
      </c>
    </row>
    <row r="23" spans="1:9" ht="15.75" thickBot="1" x14ac:dyDescent="0.3"/>
    <row r="24" spans="1:9" x14ac:dyDescent="0.25">
      <c r="A24" s="9" t="s">
        <v>48</v>
      </c>
      <c r="B24" s="9" t="s">
        <v>49</v>
      </c>
      <c r="C24" s="9" t="s">
        <v>50</v>
      </c>
    </row>
    <row r="25" spans="1:9" x14ac:dyDescent="0.25">
      <c r="A25" s="7">
        <v>1</v>
      </c>
      <c r="B25" s="7">
        <v>83.415094339622641</v>
      </c>
      <c r="C25" s="7">
        <v>16.584905660377359</v>
      </c>
    </row>
    <row r="26" spans="1:9" x14ac:dyDescent="0.25">
      <c r="A26" s="7">
        <v>2</v>
      </c>
      <c r="B26" s="7">
        <v>93.754716981132077</v>
      </c>
      <c r="C26" s="7">
        <v>-3.7547169811320771</v>
      </c>
    </row>
    <row r="27" spans="1:9" x14ac:dyDescent="0.25">
      <c r="A27" s="7">
        <v>3</v>
      </c>
      <c r="B27" s="7">
        <v>52.39622641509434</v>
      </c>
      <c r="C27" s="7">
        <v>-22.39622641509434</v>
      </c>
    </row>
    <row r="28" spans="1:9" x14ac:dyDescent="0.25">
      <c r="A28" s="7">
        <v>4</v>
      </c>
      <c r="B28" s="7">
        <v>62.735849056603769</v>
      </c>
      <c r="C28" s="7">
        <v>-2.7358490566037688</v>
      </c>
    </row>
    <row r="29" spans="1:9" x14ac:dyDescent="0.25">
      <c r="A29" s="7">
        <v>5</v>
      </c>
      <c r="B29" s="7">
        <v>73.075471698113205</v>
      </c>
      <c r="C29" s="7">
        <v>1.9245283018867951</v>
      </c>
    </row>
    <row r="30" spans="1:9" x14ac:dyDescent="0.25">
      <c r="A30" s="7">
        <v>6</v>
      </c>
      <c r="B30" s="7">
        <v>93.754716981132077</v>
      </c>
      <c r="C30" s="7">
        <v>-13.754716981132077</v>
      </c>
    </row>
    <row r="31" spans="1:9" x14ac:dyDescent="0.25">
      <c r="A31" s="7">
        <v>7</v>
      </c>
      <c r="B31" s="7">
        <v>62.735849056603769</v>
      </c>
      <c r="C31" s="7">
        <v>17.264150943396231</v>
      </c>
    </row>
    <row r="32" spans="1:9" x14ac:dyDescent="0.25">
      <c r="A32" s="7">
        <v>8</v>
      </c>
      <c r="B32" s="7">
        <v>42.056603773584911</v>
      </c>
      <c r="C32" s="7">
        <v>3.9433962264150892</v>
      </c>
    </row>
    <row r="33" spans="1:3" ht="15.75" thickBot="1" x14ac:dyDescent="0.3">
      <c r="A33" s="8">
        <v>9</v>
      </c>
      <c r="B33" s="8">
        <v>73.075471698113205</v>
      </c>
      <c r="C33" s="8">
        <v>2.9245283018867951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6A7EE-7630-439C-9A75-39852CAB9AE1}">
  <dimension ref="A1:E29"/>
  <sheetViews>
    <sheetView tabSelected="1" topLeftCell="A7" zoomScale="145" zoomScaleNormal="145" workbookViewId="0">
      <selection activeCell="D1" sqref="D1:D1048576"/>
    </sheetView>
  </sheetViews>
  <sheetFormatPr defaultRowHeight="15" x14ac:dyDescent="0.25"/>
  <cols>
    <col min="1" max="1" width="15.5703125" customWidth="1"/>
    <col min="2" max="2" width="14.5703125" customWidth="1"/>
    <col min="3" max="3" width="13" customWidth="1"/>
    <col min="4" max="4" width="15.5703125" customWidth="1"/>
    <col min="5" max="5" width="21.42578125" customWidth="1"/>
  </cols>
  <sheetData>
    <row r="1" spans="1:5" x14ac:dyDescent="0.25">
      <c r="A1" s="1" t="s">
        <v>0</v>
      </c>
      <c r="B1" s="1" t="s">
        <v>12</v>
      </c>
      <c r="C1" s="1" t="s">
        <v>11</v>
      </c>
      <c r="D1" s="1" t="s">
        <v>21</v>
      </c>
    </row>
    <row r="2" spans="1:5" x14ac:dyDescent="0.25">
      <c r="A2" t="s">
        <v>1</v>
      </c>
      <c r="B2">
        <v>100</v>
      </c>
      <c r="C2">
        <v>5</v>
      </c>
    </row>
    <row r="3" spans="1:5" x14ac:dyDescent="0.25">
      <c r="A3" t="s">
        <v>2</v>
      </c>
      <c r="B3">
        <v>90</v>
      </c>
      <c r="C3">
        <v>6</v>
      </c>
    </row>
    <row r="4" spans="1:5" x14ac:dyDescent="0.25">
      <c r="A4" t="s">
        <v>3</v>
      </c>
      <c r="B4">
        <v>30</v>
      </c>
      <c r="C4">
        <v>2</v>
      </c>
    </row>
    <row r="5" spans="1:5" x14ac:dyDescent="0.25">
      <c r="A5" t="s">
        <v>4</v>
      </c>
      <c r="B5">
        <v>60</v>
      </c>
      <c r="C5">
        <v>3</v>
      </c>
    </row>
    <row r="6" spans="1:5" x14ac:dyDescent="0.25">
      <c r="A6" t="s">
        <v>5</v>
      </c>
      <c r="B6">
        <v>75</v>
      </c>
      <c r="C6">
        <v>4</v>
      </c>
    </row>
    <row r="7" spans="1:5" x14ac:dyDescent="0.25">
      <c r="A7" t="s">
        <v>6</v>
      </c>
      <c r="B7">
        <v>80</v>
      </c>
      <c r="C7">
        <v>6</v>
      </c>
    </row>
    <row r="8" spans="1:5" x14ac:dyDescent="0.25">
      <c r="A8" t="s">
        <v>7</v>
      </c>
      <c r="B8">
        <v>80</v>
      </c>
      <c r="C8">
        <v>3</v>
      </c>
    </row>
    <row r="9" spans="1:5" x14ac:dyDescent="0.25">
      <c r="A9" t="s">
        <v>8</v>
      </c>
      <c r="B9">
        <v>46</v>
      </c>
      <c r="C9">
        <v>1</v>
      </c>
    </row>
    <row r="10" spans="1:5" x14ac:dyDescent="0.25">
      <c r="A10" t="s">
        <v>9</v>
      </c>
      <c r="B10">
        <v>76</v>
      </c>
      <c r="C10">
        <v>4</v>
      </c>
    </row>
    <row r="11" spans="1:5" ht="15.75" thickBot="1" x14ac:dyDescent="0.3">
      <c r="B11" s="2" t="s">
        <v>10</v>
      </c>
    </row>
    <row r="12" spans="1:5" x14ac:dyDescent="0.25">
      <c r="B12">
        <f>AVERAGE(B1:B10)</f>
        <v>70.777777777777771</v>
      </c>
      <c r="D12" s="10" t="s">
        <v>54</v>
      </c>
      <c r="E12" s="10"/>
    </row>
    <row r="13" spans="1:5" x14ac:dyDescent="0.25">
      <c r="B13" s="3" t="s">
        <v>13</v>
      </c>
      <c r="D13" s="7"/>
      <c r="E13" s="7"/>
    </row>
    <row r="14" spans="1:5" x14ac:dyDescent="0.25">
      <c r="B14">
        <f>MODE(B1:B10)</f>
        <v>80</v>
      </c>
      <c r="D14" s="7" t="s">
        <v>55</v>
      </c>
      <c r="E14" s="7">
        <v>70.777777777777771</v>
      </c>
    </row>
    <row r="15" spans="1:5" x14ac:dyDescent="0.25">
      <c r="B15" s="4" t="s">
        <v>14</v>
      </c>
      <c r="D15" s="7" t="s">
        <v>27</v>
      </c>
      <c r="E15" s="7">
        <v>7.2949331307912644</v>
      </c>
    </row>
    <row r="16" spans="1:5" x14ac:dyDescent="0.25">
      <c r="B16">
        <f>MEDIAN(B1:B10)</f>
        <v>76</v>
      </c>
      <c r="D16" s="7" t="s">
        <v>56</v>
      </c>
      <c r="E16" s="7">
        <v>76</v>
      </c>
    </row>
    <row r="17" spans="2:5" x14ac:dyDescent="0.25">
      <c r="B17" t="s">
        <v>20</v>
      </c>
      <c r="D17" s="7" t="s">
        <v>57</v>
      </c>
      <c r="E17" s="7">
        <v>80</v>
      </c>
    </row>
    <row r="18" spans="2:5" x14ac:dyDescent="0.25">
      <c r="B18" s="5">
        <f>CORREL(B2:B10,C2:C10)</f>
        <v>0.8107067726610574</v>
      </c>
      <c r="D18" s="7" t="s">
        <v>58</v>
      </c>
      <c r="E18" s="7">
        <v>21.884799392373793</v>
      </c>
    </row>
    <row r="19" spans="2:5" x14ac:dyDescent="0.25">
      <c r="B19" t="s">
        <v>19</v>
      </c>
      <c r="D19" s="7" t="s">
        <v>59</v>
      </c>
      <c r="E19" s="7">
        <v>478.94444444444434</v>
      </c>
    </row>
    <row r="20" spans="2:5" x14ac:dyDescent="0.25">
      <c r="B20" s="6">
        <f>_xlfn.STDEV.S(B2:B10)</f>
        <v>21.884799392373793</v>
      </c>
      <c r="D20" s="7" t="s">
        <v>60</v>
      </c>
      <c r="E20" s="7">
        <v>0.14221173768600881</v>
      </c>
    </row>
    <row r="21" spans="2:5" x14ac:dyDescent="0.25">
      <c r="D21" s="7" t="s">
        <v>61</v>
      </c>
      <c r="E21" s="7">
        <v>-0.77320468406334897</v>
      </c>
    </row>
    <row r="22" spans="2:5" x14ac:dyDescent="0.25">
      <c r="D22" s="7" t="s">
        <v>62</v>
      </c>
      <c r="E22" s="7">
        <v>70</v>
      </c>
    </row>
    <row r="23" spans="2:5" x14ac:dyDescent="0.25">
      <c r="D23" s="7" t="s">
        <v>63</v>
      </c>
      <c r="E23" s="7">
        <v>30</v>
      </c>
    </row>
    <row r="24" spans="2:5" x14ac:dyDescent="0.25">
      <c r="D24" s="7" t="s">
        <v>64</v>
      </c>
      <c r="E24" s="7">
        <v>100</v>
      </c>
    </row>
    <row r="25" spans="2:5" x14ac:dyDescent="0.25">
      <c r="D25" s="7" t="s">
        <v>15</v>
      </c>
      <c r="E25" s="7">
        <v>637</v>
      </c>
    </row>
    <row r="26" spans="2:5" x14ac:dyDescent="0.25">
      <c r="D26" s="7" t="s">
        <v>18</v>
      </c>
      <c r="E26" s="7">
        <v>9</v>
      </c>
    </row>
    <row r="27" spans="2:5" x14ac:dyDescent="0.25">
      <c r="D27" s="7" t="s">
        <v>65</v>
      </c>
      <c r="E27" s="7">
        <v>100</v>
      </c>
    </row>
    <row r="28" spans="2:5" x14ac:dyDescent="0.25">
      <c r="D28" s="7" t="s">
        <v>66</v>
      </c>
      <c r="E28" s="7">
        <v>30</v>
      </c>
    </row>
    <row r="29" spans="2:5" ht="15.75" thickBot="1" x14ac:dyDescent="0.3">
      <c r="D29" s="8" t="s">
        <v>67</v>
      </c>
      <c r="E29" s="8">
        <v>16.82214596564253</v>
      </c>
    </row>
  </sheetData>
  <conditionalFormatting sqref="B2:B1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{C2C1F15B-A951-4A80-93E9-B2990571AF84}</x14:id>
        </ext>
      </extLst>
    </cfRule>
  </conditionalFormatting>
  <conditionalFormatting sqref="C2:C10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C1F15B-A951-4A80-93E9-B2990571AF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B2:B10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2026-05-26T08:27:56Z</dcterms:created>
  <dcterms:modified xsi:type="dcterms:W3CDTF">2026-05-26T10:23:19Z</dcterms:modified>
</cp:coreProperties>
</file>